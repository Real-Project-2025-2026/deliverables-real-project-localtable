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ourismus Management\6. Semester\Praxisprojekt\"/>
    </mc:Choice>
  </mc:AlternateContent>
  <xr:revisionPtr revIDLastSave="0" documentId="13_ncr:1_{5DF8D491-8FB0-4EBA-9135-A27757EE0B37}" xr6:coauthVersionLast="47" xr6:coauthVersionMax="47" xr10:uidLastSave="{00000000-0000-0000-0000-000000000000}"/>
  <bookViews>
    <workbookView xWindow="156" yWindow="0" windowWidth="12012" windowHeight="13056" xr2:uid="{00000000-000D-0000-FFFF-FFFF00000000}"/>
  </bookViews>
  <sheets>
    <sheet name="P&amp;L" sheetId="6" r:id="rId1"/>
    <sheet name="Cashflow" sheetId="7" state="hidden" r:id="rId2"/>
    <sheet name="Bilanz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6" l="1"/>
  <c r="AA18" i="6"/>
  <c r="Z18" i="6"/>
  <c r="Y18" i="6"/>
  <c r="X18" i="6"/>
  <c r="W18" i="6"/>
  <c r="V18" i="6"/>
  <c r="U18" i="6"/>
  <c r="T18" i="6"/>
  <c r="S18" i="6"/>
  <c r="R18" i="6"/>
  <c r="Q18" i="6"/>
  <c r="P18" i="6"/>
  <c r="AA11" i="6"/>
  <c r="Z11" i="6"/>
  <c r="Y11" i="6"/>
  <c r="X11" i="6"/>
  <c r="W11" i="6"/>
  <c r="V11" i="6"/>
  <c r="U11" i="6"/>
  <c r="T11" i="6"/>
  <c r="S11" i="6"/>
  <c r="R11" i="6"/>
  <c r="Q11" i="6"/>
  <c r="P11" i="6"/>
  <c r="AA7" i="6"/>
  <c r="Z7" i="6"/>
  <c r="Y7" i="6"/>
  <c r="X7" i="6"/>
  <c r="W7" i="6"/>
  <c r="V7" i="6"/>
  <c r="U7" i="6"/>
  <c r="T7" i="6"/>
  <c r="S7" i="6"/>
  <c r="R7" i="6"/>
  <c r="Q7" i="6"/>
  <c r="J11" i="6"/>
  <c r="K11" i="6"/>
  <c r="P22" i="6" l="1"/>
  <c r="S22" i="6"/>
  <c r="AA22" i="6"/>
  <c r="Z22" i="6"/>
  <c r="Y22" i="6"/>
  <c r="X22" i="6"/>
  <c r="W22" i="6"/>
  <c r="T22" i="6"/>
  <c r="R22" i="6"/>
  <c r="Q22" i="6"/>
  <c r="V22" i="6"/>
  <c r="U22" i="6"/>
  <c r="D11" i="6"/>
  <c r="D18" i="6"/>
  <c r="E18" i="6"/>
  <c r="F18" i="6"/>
  <c r="G18" i="6"/>
  <c r="H18" i="6"/>
  <c r="I18" i="6"/>
  <c r="J18" i="6"/>
  <c r="K18" i="6"/>
  <c r="L18" i="6"/>
  <c r="M18" i="6"/>
  <c r="E7" i="6"/>
  <c r="F7" i="6"/>
  <c r="G7" i="6"/>
  <c r="H7" i="6"/>
  <c r="I7" i="6"/>
  <c r="J7" i="6"/>
  <c r="K7" i="6"/>
  <c r="L7" i="6"/>
  <c r="M7" i="6"/>
  <c r="N7" i="6"/>
  <c r="O7" i="6"/>
  <c r="D7" i="6"/>
  <c r="N18" i="6" l="1"/>
  <c r="O18" i="6"/>
  <c r="D22" i="6" l="1"/>
  <c r="E11" i="6" l="1"/>
  <c r="E22" i="6" s="1"/>
  <c r="F11" i="6" l="1"/>
  <c r="F22" i="6" s="1"/>
  <c r="M22" i="6" l="1"/>
  <c r="G11" i="6"/>
  <c r="G22" i="6" s="1"/>
  <c r="N11" i="6" l="1"/>
  <c r="N22" i="6" s="1"/>
  <c r="O22" i="6"/>
  <c r="H22" i="6"/>
  <c r="I11" i="6" l="1"/>
  <c r="I22" i="6" s="1"/>
  <c r="J22" i="6" l="1"/>
  <c r="L11" i="6" l="1"/>
  <c r="L22" i="6" s="1"/>
  <c r="K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tc={6FB60BC8-8AF8-42BF-8E3D-576015908597}</author>
  </authors>
  <commentList>
    <comment ref="B22" authorId="0" shapeId="0" xr:uid="{6FB60BC8-8AF8-42BF-8E3D-576015908597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Gewinn vor Zinsen, Steuern und Abschreibungen auf Sachanlagen und immaterielle Vermögenswerte </t>
      </text>
    </comment>
  </commentList>
</comments>
</file>

<file path=xl/sharedStrings.xml><?xml version="1.0" encoding="utf-8"?>
<sst xmlns="http://schemas.openxmlformats.org/spreadsheetml/2006/main" count="76" uniqueCount="62">
  <si>
    <t>EBITDA</t>
  </si>
  <si>
    <t>Overhead</t>
  </si>
  <si>
    <t>Cashflow</t>
  </si>
  <si>
    <t>Bilanz</t>
  </si>
  <si>
    <t>Aktiva</t>
  </si>
  <si>
    <t>Anlagevermögen</t>
  </si>
  <si>
    <t>000€</t>
  </si>
  <si>
    <t>Umlaufvermögen</t>
  </si>
  <si>
    <t>Barmittel (Kassenbestand)</t>
  </si>
  <si>
    <t>Geldanlage</t>
  </si>
  <si>
    <t>Forderungen aus Lieferungen und Leistungen</t>
  </si>
  <si>
    <t>Lagerbestand (Vorräte)</t>
  </si>
  <si>
    <t>Summe Umlaufvermögen</t>
  </si>
  <si>
    <t>Summe Aktiva</t>
  </si>
  <si>
    <t>Passiva</t>
  </si>
  <si>
    <t>Eigenkapital</t>
  </si>
  <si>
    <t>gezeichnetes Kapital</t>
  </si>
  <si>
    <t>Eigenkapital (ohne gez. Kapital)</t>
  </si>
  <si>
    <t>Gewinnrücklage inkl. Gewinn- / Verlustvorträge</t>
  </si>
  <si>
    <t>Summe Eigenkapital</t>
  </si>
  <si>
    <t>Verbindlichkeiten</t>
  </si>
  <si>
    <t>Verbindlichkeiten aus Lieferungen und Leistungen</t>
  </si>
  <si>
    <t>Verbindlichkeiten gegenüber Kreditinstituten</t>
  </si>
  <si>
    <t>Summe Verbindlichkeiten</t>
  </si>
  <si>
    <t>Summe Passiva</t>
  </si>
  <si>
    <t>Profit &amp; Loss</t>
  </si>
  <si>
    <t>Revenue</t>
  </si>
  <si>
    <t>Sales</t>
  </si>
  <si>
    <t>Marketing</t>
  </si>
  <si>
    <t>Sales &amp; Marketing Cost</t>
  </si>
  <si>
    <t>Discounts</t>
  </si>
  <si>
    <t>Production</t>
  </si>
  <si>
    <t>HR</t>
  </si>
  <si>
    <t>General Cost</t>
  </si>
  <si>
    <t>Price - average commision per guest</t>
  </si>
  <si>
    <t># Products/Services Sold - nr of guests referred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</si>
  <si>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</si>
  <si>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</si>
  <si>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</si>
  <si>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</si>
  <si>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</si>
  <si>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</si>
  <si>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</si>
  <si>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</si>
  <si>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</si>
  <si>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</si>
  <si>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</si>
  <si>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</si>
  <si>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</si>
  <si>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</si>
  <si>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</si>
  <si>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</si>
  <si>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</si>
  <si>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</si>
  <si>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</si>
  <si>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</si>
  <si>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</si>
  <si>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</si>
  <si>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</si>
  <si>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</si>
  <si>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Break Even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</si>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</sst>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\ [$€-1]"/>
    <numFmt numFmtId="165" formatCode="mmm\ d"/>
  </numFmts>
  <fonts count="11" x14ac:knownFonts="1"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8DB4E2"/>
        <bgColor rgb="FF8DB4E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2EFDA"/>
      </patternFill>
    </fill>
    <fill>
      <patternFill patternType="solid">
        <fgColor theme="9" tint="0.79998168889431442"/>
        <bgColor rgb="FFE2EFDA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" fontId="1" fillId="2" borderId="0" xfId="0" applyNumberFormat="1" applyFont="1" applyFill="1" applyAlignment="1">
      <alignment horizontal="right"/>
    </xf>
    <xf numFmtId="0" fontId="4" fillId="0" borderId="0" xfId="0" applyFont="1"/>
    <xf numFmtId="0" fontId="1" fillId="0" borderId="0" xfId="0" applyFont="1"/>
    <xf numFmtId="164" fontId="4" fillId="0" borderId="0" xfId="0" applyNumberFormat="1" applyFont="1"/>
    <xf numFmtId="3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164" fontId="4" fillId="2" borderId="0" xfId="0" applyNumberFormat="1" applyFont="1" applyFill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6" fillId="0" borderId="2" xfId="0" applyFont="1" applyBorder="1"/>
    <xf numFmtId="0" fontId="8" fillId="0" borderId="2" xfId="0" applyFont="1" applyBorder="1" applyAlignment="1">
      <alignment horizontal="right"/>
    </xf>
    <xf numFmtId="0" fontId="7" fillId="0" borderId="0" xfId="0" applyFont="1"/>
    <xf numFmtId="0" fontId="6" fillId="0" borderId="0" xfId="0" quotePrefix="1" applyFont="1"/>
    <xf numFmtId="0" fontId="7" fillId="0" borderId="0" xfId="0" applyFont="1" applyAlignment="1">
      <alignment horizontal="right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0" fontId="6" fillId="5" borderId="1" xfId="0" quotePrefix="1" applyFont="1" applyFill="1" applyBorder="1"/>
    <xf numFmtId="3" fontId="7" fillId="5" borderId="1" xfId="0" applyNumberFormat="1" applyFont="1" applyFill="1" applyBorder="1" applyAlignment="1">
      <alignment horizontal="right"/>
    </xf>
    <xf numFmtId="0" fontId="7" fillId="4" borderId="4" xfId="0" applyFont="1" applyFill="1" applyBorder="1"/>
    <xf numFmtId="0" fontId="6" fillId="4" borderId="4" xfId="0" quotePrefix="1" applyFont="1" applyFill="1" applyBorder="1"/>
    <xf numFmtId="0" fontId="7" fillId="4" borderId="4" xfId="0" applyFont="1" applyFill="1" applyBorder="1" applyAlignment="1">
      <alignment horizontal="right"/>
    </xf>
    <xf numFmtId="3" fontId="7" fillId="4" borderId="4" xfId="0" applyNumberFormat="1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165" fontId="1" fillId="6" borderId="0" xfId="0" applyNumberFormat="1" applyFont="1" applyFill="1" applyAlignment="1">
      <alignment horizontal="center"/>
    </xf>
    <xf numFmtId="0" fontId="0" fillId="6" borderId="0" xfId="0" applyFill="1"/>
    <xf numFmtId="6" fontId="1" fillId="0" borderId="0" xfId="0" applyNumberFormat="1" applyFont="1" applyAlignment="1">
      <alignment horizontal="right"/>
    </xf>
    <xf numFmtId="49" fontId="1" fillId="6" borderId="2" xfId="0" applyNumberFormat="1" applyFont="1" applyFill="1" applyBorder="1" applyAlignment="1">
      <alignment horizontal="center"/>
    </xf>
    <xf numFmtId="0" fontId="0" fillId="7" borderId="0" xfId="0" applyFill="1"/>
    <xf numFmtId="49" fontId="1" fillId="8" borderId="2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6" fontId="1" fillId="8" borderId="0" xfId="0" applyNumberFormat="1" applyFont="1" applyFill="1" applyAlignment="1">
      <alignment horizontal="right"/>
    </xf>
    <xf numFmtId="1" fontId="1" fillId="9" borderId="0" xfId="0" applyNumberFormat="1" applyFont="1" applyFill="1" applyAlignment="1">
      <alignment horizontal="right"/>
    </xf>
    <xf numFmtId="164" fontId="4" fillId="8" borderId="0" xfId="0" applyNumberFormat="1" applyFont="1" applyFill="1"/>
    <xf numFmtId="164" fontId="1" fillId="9" borderId="0" xfId="0" applyNumberFormat="1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0" fontId="0" fillId="8" borderId="0" xfId="0" applyFill="1"/>
    <xf numFmtId="0" fontId="5" fillId="3" borderId="0" xfId="0" applyFont="1" applyFill="1"/>
    <xf numFmtId="0" fontId="0" fillId="0" borderId="0" xfId="0"/>
    <xf numFmtId="0" fontId="7" fillId="4" borderId="3" xfId="0" applyFont="1" applyFill="1" applyBorder="1"/>
    <xf numFmtId="0" fontId="9" fillId="0" borderId="3" xfId="0" applyFont="1" applyBorder="1"/>
    <xf numFmtId="0" fontId="7" fillId="4" borderId="1" xfId="0" applyFont="1" applyFill="1" applyBorder="1"/>
    <xf numFmtId="0" fontId="9" fillId="0" borderId="1" xfId="0" applyFont="1" applyBorder="1"/>
    <xf numFmtId="0" fontId="7" fillId="5" borderId="1" xfId="0" applyFont="1" applyFill="1" applyBorder="1"/>
    <xf numFmtId="0" fontId="7" fillId="4" borderId="2" xfId="0" applyFont="1" applyFill="1" applyBorder="1"/>
    <xf numFmtId="0" fontId="9" fillId="0" borderId="2" xfId="0" applyFont="1" applyBorder="1"/>
    <xf numFmtId="0" fontId="7" fillId="5" borderId="2" xfId="0" applyFont="1" applyFill="1" applyBorder="1"/>
    <xf numFmtId="164" fontId="1" fillId="10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nhard Wach" id="{C82445E4-EC58-4B3C-89EE-86403228BB50}" userId="S::bernhard.wach@hm.edu::535c0aac-0e93-4ebc-a897-f40dfd1f86f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5-06-05T05:26:17.46" personId="{C82445E4-EC58-4B3C-89EE-86403228BB50}" id="{6FB60BC8-8AF8-42BF-8E3D-576015908597}">
    <text xml:space="preserve">Gewinn vor Zinsen, Steuern und Abschreibungen auf Sachanlagen und immaterielle Vermögenswerte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24"/>
  <sheetViews>
    <sheetView showGridLines="0" tabSelected="1" zoomScale="81" zoomScaleNormal="100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W6" sqref="W6"/>
    </sheetView>
  </sheetViews>
  <sheetFormatPr baseColWidth="10" defaultColWidth="14.44140625" defaultRowHeight="15" customHeight="1" x14ac:dyDescent="0.3"/>
  <cols>
    <col min="1" max="1" width="3.21875" customWidth="1"/>
    <col min="2" max="2" width="40.33203125" customWidth="1"/>
    <col min="3" max="3" width="1.6640625" customWidth="1"/>
    <col min="16" max="16" width="14.44140625" style="37"/>
  </cols>
  <sheetData>
    <row r="1" spans="1:27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s="34" customFormat="1" ht="14.4" x14ac:dyDescent="0.3">
      <c r="A2" s="33"/>
      <c r="B2" s="33"/>
      <c r="C2" s="33"/>
      <c r="D2" s="36" t="s">
        <v>36</v>
      </c>
      <c r="E2" s="36" t="s">
        <v>37</v>
      </c>
      <c r="F2" s="36" t="s">
        <v>38</v>
      </c>
      <c r="G2" s="36" t="s">
        <v>39</v>
      </c>
      <c r="H2" s="36" t="s">
        <v>40</v>
      </c>
      <c r="I2" s="36" t="s">
        <v>41</v>
      </c>
      <c r="J2" s="36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6" t="s">
        <v>47</v>
      </c>
      <c r="P2" s="38" t="s">
        <v>48</v>
      </c>
      <c r="Q2" s="36" t="s">
        <v>49</v>
      </c>
      <c r="R2" s="36" t="s">
        <v>50</v>
      </c>
      <c r="S2" s="36" t="s">
        <v>51</v>
      </c>
      <c r="T2" s="36" t="s">
        <v>52</v>
      </c>
      <c r="U2" s="36" t="s">
        <v>53</v>
      </c>
      <c r="V2" s="36" t="s">
        <v>54</v>
      </c>
      <c r="W2" s="36" t="s">
        <v>55</v>
      </c>
      <c r="X2" s="36" t="s">
        <v>56</v>
      </c>
      <c r="Y2" s="36" t="s">
        <v>57</v>
      </c>
      <c r="Z2" s="36" t="s">
        <v>58</v>
      </c>
      <c r="AA2" s="36" t="s">
        <v>59</v>
      </c>
    </row>
    <row r="3" spans="1:27" ht="17.399999999999999" x14ac:dyDescent="0.35">
      <c r="A3" s="2"/>
      <c r="B3" s="3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9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x14ac:dyDescent="0.3">
      <c r="A4" s="2"/>
      <c r="B4" s="5" t="s">
        <v>34</v>
      </c>
      <c r="C4" s="2"/>
      <c r="D4" s="35">
        <v>1.1200000000000001</v>
      </c>
      <c r="E4" s="35">
        <v>1.1200000000000001</v>
      </c>
      <c r="F4" s="35">
        <v>1.1200000000000001</v>
      </c>
      <c r="G4" s="35">
        <v>1.1200000000000001</v>
      </c>
      <c r="H4" s="35">
        <v>1.1200000000000001</v>
      </c>
      <c r="I4" s="35">
        <v>1.1200000000000001</v>
      </c>
      <c r="J4" s="35">
        <v>1.1200000000000001</v>
      </c>
      <c r="K4" s="35">
        <v>1.1200000000000001</v>
      </c>
      <c r="L4" s="35">
        <v>1.1200000000000001</v>
      </c>
      <c r="M4" s="35">
        <v>1.1200000000000001</v>
      </c>
      <c r="N4" s="35">
        <v>1.1200000000000001</v>
      </c>
      <c r="O4" s="35">
        <v>1.1200000000000001</v>
      </c>
      <c r="P4" s="40">
        <v>1.1200000000000001</v>
      </c>
      <c r="Q4" s="35">
        <v>1.1200000000000001</v>
      </c>
      <c r="R4" s="35">
        <v>1.1200000000000001</v>
      </c>
      <c r="S4" s="35">
        <v>1.1200000000000001</v>
      </c>
      <c r="T4" s="35">
        <v>1.1200000000000001</v>
      </c>
      <c r="U4" s="35">
        <v>1.1200000000000001</v>
      </c>
      <c r="V4" s="35">
        <v>1.1200000000000001</v>
      </c>
      <c r="W4" s="35">
        <v>1.1200000000000001</v>
      </c>
      <c r="X4" s="35">
        <v>1.1200000000000001</v>
      </c>
      <c r="Y4" s="35">
        <v>1.1200000000000001</v>
      </c>
      <c r="Z4" s="35">
        <v>1.1200000000000001</v>
      </c>
      <c r="AA4" s="35">
        <v>1.1200000000000001</v>
      </c>
    </row>
    <row r="5" spans="1:27" ht="14.4" x14ac:dyDescent="0.3">
      <c r="A5" s="4"/>
      <c r="B5" s="5" t="s">
        <v>35</v>
      </c>
      <c r="C5" s="4"/>
      <c r="D5" s="6">
        <v>562.5</v>
      </c>
      <c r="E5" s="6">
        <v>900</v>
      </c>
      <c r="F5" s="6">
        <v>1237.5</v>
      </c>
      <c r="G5" s="6">
        <v>1575</v>
      </c>
      <c r="H5" s="6">
        <v>1800</v>
      </c>
      <c r="I5" s="6">
        <v>2700</v>
      </c>
      <c r="J5" s="6">
        <v>3300</v>
      </c>
      <c r="K5" s="6">
        <v>4050</v>
      </c>
      <c r="L5" s="6">
        <v>4425</v>
      </c>
      <c r="M5" s="6">
        <v>4500</v>
      </c>
      <c r="N5" s="6">
        <v>4650</v>
      </c>
      <c r="O5" s="6">
        <v>4800</v>
      </c>
      <c r="P5" s="41">
        <v>5100</v>
      </c>
      <c r="Q5" s="6">
        <v>5400</v>
      </c>
      <c r="R5" s="6">
        <v>5700</v>
      </c>
      <c r="S5" s="6">
        <v>6000</v>
      </c>
      <c r="T5" s="6">
        <v>6300</v>
      </c>
      <c r="U5" s="6">
        <v>6600</v>
      </c>
      <c r="V5" s="6">
        <v>6900</v>
      </c>
      <c r="W5" s="6">
        <v>7050</v>
      </c>
      <c r="X5" s="6">
        <v>7200</v>
      </c>
      <c r="Y5" s="6">
        <v>7275</v>
      </c>
      <c r="Z5" s="6">
        <v>7350</v>
      </c>
      <c r="AA5" s="6">
        <v>7500</v>
      </c>
    </row>
    <row r="6" spans="1:27" ht="9" customHeight="1" x14ac:dyDescent="0.3">
      <c r="A6" s="7"/>
      <c r="B6" s="8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2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4" x14ac:dyDescent="0.3">
      <c r="A7" s="4"/>
      <c r="B7" s="10" t="s">
        <v>26</v>
      </c>
      <c r="C7" s="4"/>
      <c r="D7" s="11">
        <f>D5*D4</f>
        <v>630.00000000000011</v>
      </c>
      <c r="E7" s="11">
        <f t="shared" ref="E7:O7" si="0">E5*E4</f>
        <v>1008.0000000000001</v>
      </c>
      <c r="F7" s="11">
        <f t="shared" si="0"/>
        <v>1386.0000000000002</v>
      </c>
      <c r="G7" s="11">
        <f t="shared" si="0"/>
        <v>1764.0000000000002</v>
      </c>
      <c r="H7" s="11">
        <f t="shared" si="0"/>
        <v>2016.0000000000002</v>
      </c>
      <c r="I7" s="11">
        <f t="shared" si="0"/>
        <v>3024.0000000000005</v>
      </c>
      <c r="J7" s="11">
        <f t="shared" si="0"/>
        <v>3696.0000000000005</v>
      </c>
      <c r="K7" s="11">
        <f t="shared" si="0"/>
        <v>4536</v>
      </c>
      <c r="L7" s="11">
        <f t="shared" si="0"/>
        <v>4956.0000000000009</v>
      </c>
      <c r="M7" s="11">
        <f t="shared" si="0"/>
        <v>5040.0000000000009</v>
      </c>
      <c r="N7" s="11">
        <f t="shared" si="0"/>
        <v>5208.0000000000009</v>
      </c>
      <c r="O7" s="11">
        <f t="shared" si="0"/>
        <v>5376.0000000000009</v>
      </c>
      <c r="P7" s="43">
        <f>P5*P4</f>
        <v>5712.0000000000009</v>
      </c>
      <c r="Q7" s="11">
        <f t="shared" ref="Q7:AA7" si="1">Q5*Q4</f>
        <v>6048.0000000000009</v>
      </c>
      <c r="R7" s="11">
        <f t="shared" si="1"/>
        <v>6384.0000000000009</v>
      </c>
      <c r="S7" s="11">
        <f t="shared" si="1"/>
        <v>6720.0000000000009</v>
      </c>
      <c r="T7" s="11">
        <f t="shared" si="1"/>
        <v>7056.0000000000009</v>
      </c>
      <c r="U7" s="11">
        <f t="shared" si="1"/>
        <v>7392.0000000000009</v>
      </c>
      <c r="V7" s="11">
        <f t="shared" si="1"/>
        <v>7728.0000000000009</v>
      </c>
      <c r="W7" s="11">
        <f t="shared" si="1"/>
        <v>7896.0000000000009</v>
      </c>
      <c r="X7" s="11">
        <f t="shared" si="1"/>
        <v>8064.0000000000009</v>
      </c>
      <c r="Y7" s="11">
        <f t="shared" si="1"/>
        <v>8148.0000000000009</v>
      </c>
      <c r="Z7" s="11">
        <f t="shared" si="1"/>
        <v>8232</v>
      </c>
      <c r="AA7" s="11">
        <f t="shared" si="1"/>
        <v>8400</v>
      </c>
    </row>
    <row r="8" spans="1:27" ht="15.6" customHeight="1" x14ac:dyDescent="0.3">
      <c r="A8" s="7"/>
      <c r="B8" s="8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42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4" x14ac:dyDescent="0.3">
      <c r="A9" s="4"/>
      <c r="B9" s="10" t="s">
        <v>30</v>
      </c>
      <c r="C9" s="4"/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43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</row>
    <row r="10" spans="1:27" ht="9" customHeight="1" x14ac:dyDescent="0.3">
      <c r="A10" s="7"/>
      <c r="B10" s="8"/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42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4" x14ac:dyDescent="0.3">
      <c r="A11" s="4"/>
      <c r="B11" s="5" t="s">
        <v>29</v>
      </c>
      <c r="C11" s="4"/>
      <c r="D11" s="11">
        <f>D12+D13</f>
        <v>1300</v>
      </c>
      <c r="E11" s="11">
        <f>E12+E13</f>
        <v>1300</v>
      </c>
      <c r="F11" s="11">
        <f>F12+F13</f>
        <v>1000</v>
      </c>
      <c r="G11" s="11">
        <f>G12+G13</f>
        <v>850</v>
      </c>
      <c r="H11" s="11">
        <v>800</v>
      </c>
      <c r="I11" s="11">
        <f>I12+I13</f>
        <v>850</v>
      </c>
      <c r="J11" s="11">
        <f>J12+J13</f>
        <v>900</v>
      </c>
      <c r="K11" s="11">
        <f>K12+K13</f>
        <v>900</v>
      </c>
      <c r="L11" s="11">
        <f>L12+L13</f>
        <v>800</v>
      </c>
      <c r="M11" s="11">
        <v>800</v>
      </c>
      <c r="N11" s="11">
        <f>N12+N13</f>
        <v>800</v>
      </c>
      <c r="O11" s="11">
        <v>800</v>
      </c>
      <c r="P11" s="43">
        <f t="shared" ref="P11:AA11" si="2">P12+P13</f>
        <v>800</v>
      </c>
      <c r="Q11" s="11">
        <f t="shared" si="2"/>
        <v>800</v>
      </c>
      <c r="R11" s="11">
        <f t="shared" si="2"/>
        <v>850</v>
      </c>
      <c r="S11" s="11">
        <f t="shared" si="2"/>
        <v>850</v>
      </c>
      <c r="T11" s="11">
        <f t="shared" si="2"/>
        <v>900</v>
      </c>
      <c r="U11" s="11">
        <f t="shared" si="2"/>
        <v>900</v>
      </c>
      <c r="V11" s="11">
        <f t="shared" si="2"/>
        <v>900</v>
      </c>
      <c r="W11" s="11">
        <f t="shared" si="2"/>
        <v>950</v>
      </c>
      <c r="X11" s="11">
        <f t="shared" si="2"/>
        <v>950</v>
      </c>
      <c r="Y11" s="11">
        <f t="shared" si="2"/>
        <v>950</v>
      </c>
      <c r="Z11" s="11">
        <f t="shared" si="2"/>
        <v>950</v>
      </c>
      <c r="AA11" s="11">
        <f t="shared" si="2"/>
        <v>950</v>
      </c>
    </row>
    <row r="12" spans="1:27" ht="14.4" x14ac:dyDescent="0.3">
      <c r="A12" s="12"/>
      <c r="B12" s="13" t="s">
        <v>28</v>
      </c>
      <c r="C12" s="12"/>
      <c r="D12" s="14">
        <v>900</v>
      </c>
      <c r="E12" s="14">
        <v>900</v>
      </c>
      <c r="F12" s="14">
        <v>800</v>
      </c>
      <c r="G12" s="14">
        <v>750</v>
      </c>
      <c r="H12" s="14">
        <v>600</v>
      </c>
      <c r="I12" s="14">
        <v>750</v>
      </c>
      <c r="J12" s="14">
        <v>800</v>
      </c>
      <c r="K12" s="14">
        <v>800</v>
      </c>
      <c r="L12" s="14">
        <v>700</v>
      </c>
      <c r="M12" s="14">
        <v>650</v>
      </c>
      <c r="N12" s="14">
        <v>700</v>
      </c>
      <c r="O12" s="14">
        <v>800</v>
      </c>
      <c r="P12" s="44">
        <v>700</v>
      </c>
      <c r="Q12" s="14">
        <v>700</v>
      </c>
      <c r="R12" s="14">
        <v>750</v>
      </c>
      <c r="S12" s="14">
        <v>750</v>
      </c>
      <c r="T12" s="14">
        <v>800</v>
      </c>
      <c r="U12" s="14">
        <v>800</v>
      </c>
      <c r="V12" s="14">
        <v>800</v>
      </c>
      <c r="W12" s="14">
        <v>850</v>
      </c>
      <c r="X12" s="14">
        <v>850</v>
      </c>
      <c r="Y12" s="14">
        <v>850</v>
      </c>
      <c r="Z12" s="14">
        <v>850</v>
      </c>
      <c r="AA12" s="14">
        <v>850</v>
      </c>
    </row>
    <row r="13" spans="1:27" ht="14.4" x14ac:dyDescent="0.3">
      <c r="A13" s="12"/>
      <c r="B13" s="13" t="s">
        <v>27</v>
      </c>
      <c r="C13" s="12"/>
      <c r="D13" s="14">
        <v>400</v>
      </c>
      <c r="E13" s="14">
        <v>400</v>
      </c>
      <c r="F13" s="14">
        <v>200</v>
      </c>
      <c r="G13" s="14">
        <v>100</v>
      </c>
      <c r="H13" s="14">
        <v>100</v>
      </c>
      <c r="I13" s="14">
        <v>100</v>
      </c>
      <c r="J13" s="14">
        <v>100</v>
      </c>
      <c r="K13" s="14">
        <v>100</v>
      </c>
      <c r="L13" s="14">
        <v>100</v>
      </c>
      <c r="M13" s="14">
        <v>100</v>
      </c>
      <c r="N13" s="14">
        <v>100</v>
      </c>
      <c r="O13" s="14">
        <v>100</v>
      </c>
      <c r="P13" s="44">
        <v>100</v>
      </c>
      <c r="Q13" s="14">
        <v>100</v>
      </c>
      <c r="R13" s="14">
        <v>100</v>
      </c>
      <c r="S13" s="14">
        <v>100</v>
      </c>
      <c r="T13" s="14">
        <v>100</v>
      </c>
      <c r="U13" s="14">
        <v>100</v>
      </c>
      <c r="V13" s="14">
        <v>100</v>
      </c>
      <c r="W13" s="14">
        <v>100</v>
      </c>
      <c r="X13" s="14">
        <v>100</v>
      </c>
      <c r="Y13" s="14">
        <v>100</v>
      </c>
      <c r="Z13" s="14">
        <v>100</v>
      </c>
      <c r="AA13" s="14">
        <v>100</v>
      </c>
    </row>
    <row r="14" spans="1:27" ht="9" customHeight="1" x14ac:dyDescent="0.3">
      <c r="A14" s="7"/>
      <c r="B14" s="8"/>
      <c r="C14" s="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42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4" x14ac:dyDescent="0.3">
      <c r="A15" s="4"/>
      <c r="B15" s="5" t="s">
        <v>31</v>
      </c>
      <c r="C15" s="4"/>
      <c r="D15" s="11">
        <v>100</v>
      </c>
      <c r="E15" s="11">
        <v>100</v>
      </c>
      <c r="F15" s="11">
        <v>100</v>
      </c>
      <c r="G15" s="11">
        <v>100</v>
      </c>
      <c r="H15" s="11">
        <v>100</v>
      </c>
      <c r="I15" s="11">
        <v>100</v>
      </c>
      <c r="J15" s="11">
        <v>100</v>
      </c>
      <c r="K15" s="11">
        <v>100</v>
      </c>
      <c r="L15" s="11">
        <v>100</v>
      </c>
      <c r="M15" s="11">
        <v>100</v>
      </c>
      <c r="N15" s="11">
        <v>100</v>
      </c>
      <c r="O15" s="11">
        <v>100</v>
      </c>
      <c r="P15" s="43">
        <v>100</v>
      </c>
      <c r="Q15" s="11">
        <v>100</v>
      </c>
      <c r="R15" s="11">
        <v>100</v>
      </c>
      <c r="S15" s="11">
        <v>100</v>
      </c>
      <c r="T15" s="11">
        <v>100</v>
      </c>
      <c r="U15" s="11">
        <v>100</v>
      </c>
      <c r="V15" s="11">
        <v>100</v>
      </c>
      <c r="W15" s="11">
        <v>100</v>
      </c>
      <c r="X15" s="11">
        <v>100</v>
      </c>
      <c r="Y15" s="11">
        <v>100</v>
      </c>
      <c r="Z15" s="11">
        <v>100</v>
      </c>
      <c r="AA15" s="11">
        <v>100</v>
      </c>
    </row>
    <row r="16" spans="1:27" ht="9" customHeight="1" x14ac:dyDescent="0.3">
      <c r="A16" s="7"/>
      <c r="B16" s="8"/>
      <c r="C16" s="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4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9" customHeight="1" x14ac:dyDescent="0.3">
      <c r="A17" s="7"/>
      <c r="B17" s="8"/>
      <c r="C17" s="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42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4" x14ac:dyDescent="0.3">
      <c r="A18" s="4"/>
      <c r="B18" s="5" t="s">
        <v>1</v>
      </c>
      <c r="C18" s="4"/>
      <c r="D18" s="11">
        <f t="shared" ref="D18:M18" si="3">D19+D20</f>
        <v>4020</v>
      </c>
      <c r="E18" s="11">
        <f t="shared" si="3"/>
        <v>4020</v>
      </c>
      <c r="F18" s="11">
        <f t="shared" si="3"/>
        <v>4020</v>
      </c>
      <c r="G18" s="11">
        <f t="shared" si="3"/>
        <v>4020</v>
      </c>
      <c r="H18" s="11">
        <f t="shared" si="3"/>
        <v>4020</v>
      </c>
      <c r="I18" s="11">
        <f t="shared" si="3"/>
        <v>4020</v>
      </c>
      <c r="J18" s="11">
        <f t="shared" si="3"/>
        <v>4020</v>
      </c>
      <c r="K18" s="11">
        <f t="shared" si="3"/>
        <v>5380</v>
      </c>
      <c r="L18" s="11">
        <f t="shared" si="3"/>
        <v>5380</v>
      </c>
      <c r="M18" s="11">
        <f t="shared" si="3"/>
        <v>5380</v>
      </c>
      <c r="N18" s="11">
        <f t="shared" ref="N18:Y18" si="4">N19+N20</f>
        <v>5380</v>
      </c>
      <c r="O18" s="11">
        <f t="shared" si="4"/>
        <v>5380</v>
      </c>
      <c r="P18" s="43">
        <f t="shared" si="4"/>
        <v>5380</v>
      </c>
      <c r="Q18" s="11">
        <f t="shared" si="4"/>
        <v>5380</v>
      </c>
      <c r="R18" s="11">
        <f t="shared" si="4"/>
        <v>5380</v>
      </c>
      <c r="S18" s="11">
        <f t="shared" si="4"/>
        <v>5380</v>
      </c>
      <c r="T18" s="11">
        <f t="shared" si="4"/>
        <v>5380</v>
      </c>
      <c r="U18" s="11">
        <f t="shared" si="4"/>
        <v>5380</v>
      </c>
      <c r="V18" s="11">
        <f t="shared" si="4"/>
        <v>5380</v>
      </c>
      <c r="W18" s="11">
        <f t="shared" si="4"/>
        <v>5380</v>
      </c>
      <c r="X18" s="11">
        <f t="shared" si="4"/>
        <v>5380</v>
      </c>
      <c r="Y18" s="11">
        <f t="shared" si="4"/>
        <v>5380</v>
      </c>
      <c r="Z18" s="11">
        <f t="shared" ref="Z18:AA18" si="5">Z19+Z20</f>
        <v>5380</v>
      </c>
      <c r="AA18" s="11">
        <f t="shared" si="5"/>
        <v>5380</v>
      </c>
    </row>
    <row r="19" spans="1:27" ht="14.4" x14ac:dyDescent="0.3">
      <c r="A19" s="12"/>
      <c r="B19" s="13" t="s">
        <v>32</v>
      </c>
      <c r="C19" s="12"/>
      <c r="D19" s="14">
        <v>3820</v>
      </c>
      <c r="E19" s="14">
        <v>3820</v>
      </c>
      <c r="F19" s="14">
        <v>3820</v>
      </c>
      <c r="G19" s="14">
        <v>3820</v>
      </c>
      <c r="H19" s="14">
        <v>3820</v>
      </c>
      <c r="I19" s="14">
        <v>3820</v>
      </c>
      <c r="J19" s="14">
        <v>3820</v>
      </c>
      <c r="K19" s="14">
        <v>5180</v>
      </c>
      <c r="L19" s="14">
        <v>5180</v>
      </c>
      <c r="M19" s="14">
        <v>5180</v>
      </c>
      <c r="N19" s="14">
        <v>5180</v>
      </c>
      <c r="O19" s="14">
        <v>5180</v>
      </c>
      <c r="P19" s="44">
        <v>5180</v>
      </c>
      <c r="Q19" s="14">
        <v>5180</v>
      </c>
      <c r="R19" s="14">
        <v>5180</v>
      </c>
      <c r="S19" s="14">
        <v>5180</v>
      </c>
      <c r="T19" s="14">
        <v>5180</v>
      </c>
      <c r="U19" s="14">
        <v>5180</v>
      </c>
      <c r="V19" s="14">
        <v>5180</v>
      </c>
      <c r="W19" s="14">
        <v>5180</v>
      </c>
      <c r="X19" s="14">
        <v>5180</v>
      </c>
      <c r="Y19" s="14">
        <v>5180</v>
      </c>
      <c r="Z19" s="14">
        <v>5180</v>
      </c>
      <c r="AA19" s="14">
        <v>5180</v>
      </c>
    </row>
    <row r="20" spans="1:27" ht="14.4" x14ac:dyDescent="0.3">
      <c r="A20" s="12"/>
      <c r="B20" s="13" t="s">
        <v>33</v>
      </c>
      <c r="C20" s="12"/>
      <c r="D20" s="14">
        <v>200</v>
      </c>
      <c r="E20" s="14">
        <v>200</v>
      </c>
      <c r="F20" s="14">
        <v>200</v>
      </c>
      <c r="G20" s="14">
        <v>200</v>
      </c>
      <c r="H20" s="14">
        <v>200</v>
      </c>
      <c r="I20" s="14">
        <v>200</v>
      </c>
      <c r="J20" s="14">
        <v>200</v>
      </c>
      <c r="K20" s="14">
        <v>200</v>
      </c>
      <c r="L20" s="14">
        <v>200</v>
      </c>
      <c r="M20" s="14">
        <v>200</v>
      </c>
      <c r="N20" s="14">
        <v>200</v>
      </c>
      <c r="O20" s="14">
        <v>200</v>
      </c>
      <c r="P20" s="44">
        <v>200</v>
      </c>
      <c r="Q20" s="14">
        <v>200</v>
      </c>
      <c r="R20" s="14">
        <v>200</v>
      </c>
      <c r="S20" s="14">
        <v>200</v>
      </c>
      <c r="T20" s="14">
        <v>200</v>
      </c>
      <c r="U20" s="14">
        <v>200</v>
      </c>
      <c r="V20" s="14">
        <v>200</v>
      </c>
      <c r="W20" s="14">
        <v>200</v>
      </c>
      <c r="X20" s="14">
        <v>200</v>
      </c>
      <c r="Y20" s="14">
        <v>200</v>
      </c>
      <c r="Z20" s="14">
        <v>200</v>
      </c>
      <c r="AA20" s="14">
        <v>200</v>
      </c>
    </row>
    <row r="21" spans="1:27" ht="9" customHeight="1" x14ac:dyDescent="0.3">
      <c r="A21" s="7"/>
      <c r="B21" s="8"/>
      <c r="C21" s="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42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4" x14ac:dyDescent="0.3">
      <c r="A22" s="4"/>
      <c r="B22" s="5" t="s">
        <v>0</v>
      </c>
      <c r="C22" s="4"/>
      <c r="D22" s="11">
        <f t="shared" ref="D22:AA22" si="6">D7-D9-D11-D15-D18</f>
        <v>-4790</v>
      </c>
      <c r="E22" s="11">
        <f t="shared" si="6"/>
        <v>-4412</v>
      </c>
      <c r="F22" s="11">
        <f t="shared" si="6"/>
        <v>-3734</v>
      </c>
      <c r="G22" s="11">
        <f t="shared" si="6"/>
        <v>-3206</v>
      </c>
      <c r="H22" s="11">
        <f t="shared" si="6"/>
        <v>-2904</v>
      </c>
      <c r="I22" s="11">
        <f t="shared" si="6"/>
        <v>-1945.9999999999995</v>
      </c>
      <c r="J22" s="11">
        <f t="shared" si="6"/>
        <v>-1323.9999999999995</v>
      </c>
      <c r="K22" s="11">
        <f t="shared" si="6"/>
        <v>-1844</v>
      </c>
      <c r="L22" s="11">
        <f t="shared" si="6"/>
        <v>-1323.9999999999991</v>
      </c>
      <c r="M22" s="11">
        <f t="shared" si="6"/>
        <v>-1239.9999999999991</v>
      </c>
      <c r="N22" s="11">
        <f t="shared" si="6"/>
        <v>-1071.9999999999991</v>
      </c>
      <c r="O22" s="11">
        <f t="shared" si="6"/>
        <v>-903.99999999999909</v>
      </c>
      <c r="P22" s="43">
        <f t="shared" si="6"/>
        <v>-567.99999999999909</v>
      </c>
      <c r="Q22" s="11">
        <f t="shared" si="6"/>
        <v>-231.99999999999909</v>
      </c>
      <c r="R22" s="43">
        <f t="shared" si="6"/>
        <v>54.000000000000909</v>
      </c>
      <c r="S22" s="11">
        <f t="shared" si="6"/>
        <v>390.00000000000091</v>
      </c>
      <c r="T22" s="11">
        <f t="shared" si="6"/>
        <v>676.00000000000091</v>
      </c>
      <c r="U22" s="11">
        <f t="shared" si="6"/>
        <v>1012.0000000000009</v>
      </c>
      <c r="V22" s="56">
        <f t="shared" si="6"/>
        <v>1348.0000000000009</v>
      </c>
      <c r="W22" s="11">
        <f t="shared" si="6"/>
        <v>1466.0000000000009</v>
      </c>
      <c r="X22" s="11">
        <f t="shared" si="6"/>
        <v>1634.0000000000009</v>
      </c>
      <c r="Y22" s="11">
        <f t="shared" si="6"/>
        <v>1718.0000000000009</v>
      </c>
      <c r="Z22" s="11">
        <f t="shared" si="6"/>
        <v>1802</v>
      </c>
      <c r="AA22" s="11">
        <f t="shared" si="6"/>
        <v>1970</v>
      </c>
    </row>
    <row r="23" spans="1:27" ht="15" customHeight="1" x14ac:dyDescent="0.3">
      <c r="P23" s="45" t="s">
        <v>61</v>
      </c>
      <c r="R23" s="45" t="s">
        <v>60</v>
      </c>
      <c r="V23" s="37"/>
    </row>
    <row r="24" spans="1:27" ht="15" customHeight="1" x14ac:dyDescent="0.3">
      <c r="R24" s="45"/>
    </row>
  </sheetData>
  <pageMargins left="0.7" right="0.7" top="0.78740157499999996" bottom="0.78740157499999996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/>
  </sheetViews>
  <sheetFormatPr baseColWidth="10" defaultColWidth="14.44140625" defaultRowHeight="15" customHeight="1" x14ac:dyDescent="0.3"/>
  <sheetData>
    <row r="1" spans="1:3" ht="15" customHeight="1" x14ac:dyDescent="0.4">
      <c r="A1" s="46" t="s">
        <v>2</v>
      </c>
      <c r="B1" s="47"/>
      <c r="C1" s="47"/>
    </row>
  </sheetData>
  <mergeCells count="1">
    <mergeCell ref="A1:C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"/>
  <sheetViews>
    <sheetView workbookViewId="0"/>
  </sheetViews>
  <sheetFormatPr baseColWidth="10" defaultColWidth="14.44140625" defaultRowHeight="15" customHeight="1" x14ac:dyDescent="0.3"/>
  <cols>
    <col min="4" max="4" width="32.21875" customWidth="1"/>
    <col min="5" max="5" width="8" customWidth="1"/>
  </cols>
  <sheetData>
    <row r="1" spans="1:10" ht="15" customHeight="1" x14ac:dyDescent="0.4">
      <c r="A1" s="46" t="s">
        <v>3</v>
      </c>
      <c r="B1" s="47"/>
      <c r="C1" s="47"/>
      <c r="D1" s="15"/>
      <c r="E1" s="16"/>
      <c r="F1" s="15"/>
      <c r="G1" s="15"/>
      <c r="H1" s="15"/>
      <c r="I1" s="15"/>
      <c r="J1" s="15"/>
    </row>
    <row r="2" spans="1:10" ht="14.4" x14ac:dyDescent="0.3">
      <c r="A2" s="17"/>
      <c r="B2" s="17"/>
      <c r="C2" s="17"/>
      <c r="D2" s="17"/>
      <c r="E2" s="18"/>
      <c r="F2" s="19">
        <v>2023</v>
      </c>
      <c r="G2" s="19">
        <v>2024</v>
      </c>
      <c r="H2" s="19">
        <v>2025</v>
      </c>
      <c r="I2" s="19">
        <v>2026</v>
      </c>
      <c r="J2" s="19">
        <v>2027</v>
      </c>
    </row>
    <row r="3" spans="1:10" ht="14.4" x14ac:dyDescent="0.3">
      <c r="A3" s="50" t="s">
        <v>4</v>
      </c>
      <c r="B3" s="51"/>
      <c r="C3" s="51"/>
      <c r="D3" s="20"/>
      <c r="E3" s="16"/>
      <c r="F3" s="20"/>
      <c r="G3" s="20"/>
      <c r="H3" s="20"/>
      <c r="I3" s="20"/>
      <c r="J3" s="20"/>
    </row>
    <row r="4" spans="1:10" ht="14.4" x14ac:dyDescent="0.3">
      <c r="A4" s="20"/>
      <c r="B4" s="20"/>
      <c r="C4" s="20" t="s">
        <v>5</v>
      </c>
      <c r="D4" s="20"/>
      <c r="E4" s="21" t="s">
        <v>6</v>
      </c>
      <c r="F4" s="22"/>
      <c r="G4" s="22"/>
      <c r="H4" s="22"/>
      <c r="I4" s="22"/>
      <c r="J4" s="22"/>
    </row>
    <row r="5" spans="1:10" ht="14.4" x14ac:dyDescent="0.3">
      <c r="A5" s="20"/>
      <c r="B5" s="52" t="s">
        <v>7</v>
      </c>
      <c r="C5" s="51"/>
      <c r="D5" s="52"/>
      <c r="E5" s="51"/>
      <c r="F5" s="52"/>
      <c r="G5" s="51"/>
      <c r="H5" s="52"/>
      <c r="I5" s="51"/>
      <c r="J5" s="24"/>
    </row>
    <row r="6" spans="1:10" ht="14.4" x14ac:dyDescent="0.3">
      <c r="A6" s="20"/>
      <c r="B6" s="20"/>
      <c r="C6" s="20" t="s">
        <v>8</v>
      </c>
      <c r="D6" s="20"/>
      <c r="E6" s="21" t="s">
        <v>6</v>
      </c>
      <c r="F6" s="22"/>
      <c r="G6" s="22"/>
      <c r="H6" s="22"/>
      <c r="I6" s="22"/>
      <c r="J6" s="25"/>
    </row>
    <row r="7" spans="1:10" ht="14.4" x14ac:dyDescent="0.3">
      <c r="A7" s="20"/>
      <c r="B7" s="20"/>
      <c r="C7" s="20" t="s">
        <v>9</v>
      </c>
      <c r="D7" s="20"/>
      <c r="E7" s="21" t="s">
        <v>6</v>
      </c>
      <c r="F7" s="22"/>
      <c r="G7" s="22"/>
      <c r="H7" s="22"/>
      <c r="I7" s="22"/>
      <c r="J7" s="22"/>
    </row>
    <row r="8" spans="1:10" ht="14.4" x14ac:dyDescent="0.3">
      <c r="A8" s="20"/>
      <c r="B8" s="20"/>
      <c r="C8" s="20" t="s">
        <v>10</v>
      </c>
      <c r="D8" s="20"/>
      <c r="E8" s="21" t="s">
        <v>6</v>
      </c>
      <c r="F8" s="22"/>
      <c r="G8" s="22"/>
      <c r="H8" s="22"/>
      <c r="I8" s="22"/>
      <c r="J8" s="22"/>
    </row>
    <row r="9" spans="1:10" ht="14.4" x14ac:dyDescent="0.3">
      <c r="A9" s="20"/>
      <c r="B9" s="20"/>
      <c r="C9" s="20" t="s">
        <v>11</v>
      </c>
      <c r="D9" s="20"/>
      <c r="E9" s="21" t="s">
        <v>6</v>
      </c>
      <c r="F9" s="22"/>
      <c r="G9" s="22"/>
      <c r="H9" s="22"/>
      <c r="I9" s="22"/>
      <c r="J9" s="22"/>
    </row>
    <row r="10" spans="1:10" ht="14.4" x14ac:dyDescent="0.3">
      <c r="A10" s="20"/>
      <c r="B10" s="52" t="s">
        <v>12</v>
      </c>
      <c r="C10" s="51"/>
      <c r="D10" s="23"/>
      <c r="E10" s="26" t="s">
        <v>6</v>
      </c>
      <c r="F10" s="24"/>
      <c r="G10" s="24"/>
      <c r="H10" s="24"/>
      <c r="I10" s="24"/>
      <c r="J10" s="27"/>
    </row>
    <row r="11" spans="1:10" ht="14.4" x14ac:dyDescent="0.3">
      <c r="A11" s="48" t="s">
        <v>13</v>
      </c>
      <c r="B11" s="49"/>
      <c r="C11" s="49"/>
      <c r="D11" s="28"/>
      <c r="E11" s="29" t="s">
        <v>6</v>
      </c>
      <c r="F11" s="30"/>
      <c r="G11" s="30"/>
      <c r="H11" s="30"/>
      <c r="I11" s="30"/>
      <c r="J11" s="31"/>
    </row>
    <row r="12" spans="1:10" ht="14.4" x14ac:dyDescent="0.3">
      <c r="A12" s="20"/>
      <c r="B12" s="20"/>
      <c r="C12" s="20"/>
      <c r="D12" s="20"/>
      <c r="E12" s="16"/>
      <c r="F12" s="20"/>
      <c r="G12" s="20"/>
      <c r="H12" s="20"/>
      <c r="I12" s="20"/>
      <c r="J12" s="20"/>
    </row>
    <row r="13" spans="1:10" ht="14.4" x14ac:dyDescent="0.3">
      <c r="A13" s="53" t="s">
        <v>14</v>
      </c>
      <c r="B13" s="54"/>
      <c r="C13" s="54"/>
      <c r="D13" s="20"/>
      <c r="E13" s="16"/>
      <c r="F13" s="20"/>
      <c r="G13" s="20"/>
      <c r="H13" s="20"/>
      <c r="I13" s="20"/>
      <c r="J13" s="20"/>
    </row>
    <row r="14" spans="1:10" ht="14.4" x14ac:dyDescent="0.3">
      <c r="A14" s="20"/>
      <c r="B14" s="52" t="s">
        <v>15</v>
      </c>
      <c r="C14" s="51"/>
      <c r="D14" s="20"/>
      <c r="E14" s="16"/>
      <c r="F14" s="20"/>
      <c r="G14" s="20"/>
      <c r="H14" s="20"/>
      <c r="I14" s="20"/>
      <c r="J14" s="20"/>
    </row>
    <row r="15" spans="1:10" ht="14.4" x14ac:dyDescent="0.3">
      <c r="A15" s="20"/>
      <c r="B15" s="20"/>
      <c r="C15" s="20" t="s">
        <v>16</v>
      </c>
      <c r="D15" s="20"/>
      <c r="E15" s="21" t="s">
        <v>6</v>
      </c>
      <c r="F15" s="22"/>
      <c r="G15" s="22"/>
      <c r="H15" s="22"/>
      <c r="I15" s="22"/>
      <c r="J15" s="22"/>
    </row>
    <row r="16" spans="1:10" ht="14.4" x14ac:dyDescent="0.3">
      <c r="A16" s="20"/>
      <c r="B16" s="20"/>
      <c r="C16" s="20" t="s">
        <v>17</v>
      </c>
      <c r="D16" s="20"/>
      <c r="E16" s="21" t="s">
        <v>6</v>
      </c>
      <c r="F16" s="22"/>
      <c r="G16" s="22"/>
      <c r="H16" s="22"/>
      <c r="I16" s="22"/>
      <c r="J16" s="22"/>
    </row>
    <row r="17" spans="1:10" ht="14.4" x14ac:dyDescent="0.3">
      <c r="A17" s="20"/>
      <c r="B17" s="20"/>
      <c r="C17" s="20" t="s">
        <v>18</v>
      </c>
      <c r="D17" s="20"/>
      <c r="E17" s="21" t="s">
        <v>6</v>
      </c>
      <c r="F17" s="32"/>
      <c r="G17" s="32"/>
      <c r="H17" s="22"/>
      <c r="I17" s="22"/>
      <c r="J17" s="22"/>
    </row>
    <row r="18" spans="1:10" ht="14.4" x14ac:dyDescent="0.3">
      <c r="A18" s="20"/>
      <c r="B18" s="52" t="s">
        <v>19</v>
      </c>
      <c r="C18" s="51"/>
      <c r="D18" s="23"/>
      <c r="E18" s="26" t="s">
        <v>6</v>
      </c>
      <c r="F18" s="24"/>
      <c r="G18" s="24"/>
      <c r="H18" s="24"/>
      <c r="I18" s="24"/>
      <c r="J18" s="27"/>
    </row>
    <row r="19" spans="1:10" ht="14.4" x14ac:dyDescent="0.3">
      <c r="A19" s="20"/>
      <c r="B19" s="20"/>
      <c r="C19" s="20"/>
      <c r="D19" s="20"/>
      <c r="E19" s="16"/>
      <c r="F19" s="20"/>
      <c r="G19" s="20"/>
      <c r="H19" s="20"/>
      <c r="I19" s="20"/>
      <c r="J19" s="20"/>
    </row>
    <row r="20" spans="1:10" ht="14.4" x14ac:dyDescent="0.3">
      <c r="A20" s="20"/>
      <c r="B20" s="55" t="s">
        <v>20</v>
      </c>
      <c r="C20" s="54"/>
      <c r="D20" s="24"/>
      <c r="E20" s="24"/>
      <c r="F20" s="24"/>
      <c r="G20" s="24"/>
      <c r="H20" s="24"/>
      <c r="I20" s="24"/>
      <c r="J20" s="24"/>
    </row>
    <row r="21" spans="1:10" ht="14.4" x14ac:dyDescent="0.3">
      <c r="A21" s="20"/>
      <c r="B21" s="20"/>
      <c r="C21" s="20" t="s">
        <v>21</v>
      </c>
      <c r="D21" s="20"/>
      <c r="E21" s="21" t="s">
        <v>6</v>
      </c>
      <c r="F21" s="22"/>
      <c r="G21" s="22"/>
      <c r="H21" s="22"/>
      <c r="I21" s="22"/>
      <c r="J21" s="22"/>
    </row>
    <row r="22" spans="1:10" ht="14.4" x14ac:dyDescent="0.3">
      <c r="A22" s="20"/>
      <c r="B22" s="20"/>
      <c r="C22" s="20" t="s">
        <v>22</v>
      </c>
      <c r="D22" s="20"/>
      <c r="E22" s="21" t="s">
        <v>6</v>
      </c>
      <c r="F22" s="22"/>
      <c r="G22" s="22"/>
      <c r="H22" s="22"/>
      <c r="I22" s="22"/>
      <c r="J22" s="32"/>
    </row>
    <row r="23" spans="1:10" ht="14.4" x14ac:dyDescent="0.3">
      <c r="A23" s="20"/>
      <c r="B23" s="52" t="s">
        <v>23</v>
      </c>
      <c r="C23" s="51"/>
      <c r="D23" s="23"/>
      <c r="E23" s="26" t="s">
        <v>6</v>
      </c>
      <c r="F23" s="24"/>
      <c r="G23" s="24"/>
      <c r="H23" s="24"/>
      <c r="I23" s="24"/>
      <c r="J23" s="24"/>
    </row>
    <row r="24" spans="1:10" ht="14.4" x14ac:dyDescent="0.3">
      <c r="A24" s="48" t="s">
        <v>24</v>
      </c>
      <c r="B24" s="49"/>
      <c r="C24" s="49"/>
      <c r="D24" s="28"/>
      <c r="E24" s="29" t="s">
        <v>6</v>
      </c>
      <c r="F24" s="30"/>
      <c r="G24" s="30"/>
      <c r="H24" s="30"/>
      <c r="I24" s="30"/>
      <c r="J24" s="31"/>
    </row>
  </sheetData>
  <mergeCells count="14">
    <mergeCell ref="D5:E5"/>
    <mergeCell ref="F5:G5"/>
    <mergeCell ref="H5:I5"/>
    <mergeCell ref="B10:C10"/>
    <mergeCell ref="B23:C23"/>
    <mergeCell ref="A24:C24"/>
    <mergeCell ref="A1:C1"/>
    <mergeCell ref="A3:C3"/>
    <mergeCell ref="B5:C5"/>
    <mergeCell ref="A11:C11"/>
    <mergeCell ref="A13:C13"/>
    <mergeCell ref="B14:C14"/>
    <mergeCell ref="B18:C18"/>
    <mergeCell ref="B20:C20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d4505a9-6cd4-4946-8469-fe3f198364fd}" enabled="0" method="" siteId="{dd4505a9-6cd4-4946-8469-fe3f19836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P&amp;L</vt:lpstr>
      <vt:lpstr>Cashflow</vt:lpstr>
      <vt:lpstr>Bilanz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Wach</dc:creator>
  <cp:lastModifiedBy>Chiara Martinetto</cp:lastModifiedBy>
  <dcterms:created xsi:type="dcterms:W3CDTF">2023-05-10T20:57:12Z</dcterms:created>
  <dcterms:modified xsi:type="dcterms:W3CDTF">2025-12-17T13:47:03Z</dcterms:modified>
</cp:coreProperties>
</file>